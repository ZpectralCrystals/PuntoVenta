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adre del evento" state="visible" r:id="rId4"/>
    <sheet sheetId="2" name="Ventas" state="visible" r:id="rId5"/>
    <sheet sheetId="3" name="Detalle productos" state="visible" r:id="rId6"/>
  </sheets>
  <calcPr calcId="171027" fullCalcOnLoad="1"/>
</workbook>
</file>

<file path=xl/sharedStrings.xml><?xml version="1.0" encoding="utf-8"?>
<sst xmlns="http://schemas.openxmlformats.org/spreadsheetml/2006/main" count="75" uniqueCount="45">
  <si>
    <t>Cuadre · Festival QA</t>
  </si>
  <si>
    <t>Mesa Clara · Evento cerrado · Generado 22 ago. 2026, 4:42 p. m.</t>
  </si>
  <si>
    <t>TICKETS</t>
  </si>
  <si>
    <t>VENTA TOTAL</t>
  </si>
  <si>
    <t>EFECTIVO</t>
  </si>
  <si>
    <t>YAPE</t>
  </si>
  <si>
    <t>Tienda</t>
  </si>
  <si>
    <t>Tickets</t>
  </si>
  <si>
    <t>Venta total</t>
  </si>
  <si>
    <t>Efectivo</t>
  </si>
  <si>
    <t>Yape</t>
  </si>
  <si>
    <t>% del evento</t>
  </si>
  <si>
    <t>La Cueva del Parrillero</t>
  </si>
  <si>
    <t>NellyMarket</t>
  </si>
  <si>
    <t>TOTAL</t>
  </si>
  <si>
    <t>CAJA CENTRAL</t>
  </si>
  <si>
    <t>Fondo inicial</t>
  </si>
  <si>
    <t>Efectivo vendido</t>
  </si>
  <si>
    <t>Efectivo esperado</t>
  </si>
  <si>
    <t>Efectivo contado</t>
  </si>
  <si>
    <t>Diferencia</t>
  </si>
  <si>
    <t>Ventas · Festival QA</t>
  </si>
  <si>
    <t>Detalle completo de tickets del evento</t>
  </si>
  <si>
    <t>Venta</t>
  </si>
  <si>
    <t>Fecha</t>
  </si>
  <si>
    <t>Hora</t>
  </si>
  <si>
    <t>Cliente</t>
  </si>
  <si>
    <t>Pago</t>
  </si>
  <si>
    <t>Unidades</t>
  </si>
  <si>
    <t>Total</t>
  </si>
  <si>
    <t>#00001</t>
  </si>
  <si>
    <t>Cliente general</t>
  </si>
  <si>
    <t>#00002</t>
  </si>
  <si>
    <t>Mesa 4</t>
  </si>
  <si>
    <t>Detalle de productos</t>
  </si>
  <si>
    <t>Una fila por producto vendido · valores listos para filtros y análisis</t>
  </si>
  <si>
    <t>Producto</t>
  </si>
  <si>
    <t>Cantidad</t>
  </si>
  <si>
    <t>Precio unitario</t>
  </si>
  <si>
    <t>Subtotal</t>
  </si>
  <si>
    <t>Hamburguesa</t>
  </si>
  <si>
    <t>Agua</t>
  </si>
  <si>
    <t>Gaseosa</t>
  </si>
  <si>
    <t>Energizante</t>
  </si>
  <si>
    <t>Cigarro Lucky —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</si>
</sst>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S/&quot; #,##0.00"/>
    <numFmt numFmtId="165" formatCode="0.0%"/>
    <numFmt numFmtId="166" formatCode="dd/mm/yyyy"/>
    <numFmt numFmtId="167" formatCode="hh:mm AM/PM"/>
    <numFmt numFmtId="168" formatCode="dd/mm/yyyy hh:mm AM/PM"/>
  </numFmts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667168"/>
      <sz val="10"/>
      <name val="Aptos"/>
    </font>
    <font>
      <b/>
      <color rgb="FF667168"/>
      <sz val="9"/>
      <name val="Aptos"/>
    </font>
    <font>
      <b/>
      <color rgb="FF18251E"/>
      <sz val="17"/>
      <name val="Aptos Display"/>
    </font>
    <font>
      <b/>
      <color rgb="FFFFFFFF"/>
    </font>
    <font>
      <b/>
      <color rgb="FF667168"/>
    </font>
    <font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18251E"/>
      </patternFill>
    </fill>
    <fill>
      <patternFill patternType="solid">
        <fgColor rgb="FFF7F5F0"/>
      </patternFill>
    </fill>
    <fill>
      <patternFill patternType="solid">
        <fgColor rgb="FFE5F0E9"/>
      </patternFill>
    </fill>
    <fill>
      <patternFill patternType="solid">
        <fgColor rgb="FFFFF0D8"/>
      </patternFill>
    </fill>
    <fill>
      <patternFill patternType="solid">
        <fgColor rgb="FFE8ED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5F0E9"/>
      </left>
      <right style="thin">
        <color rgb="FFE5F0E9"/>
      </right>
      <top style="thin">
        <color rgb="FFE5F0E9"/>
      </top>
      <bottom style="thin">
        <color rgb="FFE5F0E9"/>
      </bottom>
      <diagonal/>
    </border>
    <border>
      <left style="thin">
        <color rgb="FFFFF0D8"/>
      </left>
      <right style="thin">
        <color rgb="FFFFF0D8"/>
      </right>
      <top style="thin">
        <color rgb="FFFFF0D8"/>
      </top>
      <bottom style="thin">
        <color rgb="FFFFF0D8"/>
      </bottom>
      <diagonal/>
    </border>
    <border>
      <left style="thin">
        <color rgb="FFE8EDF8"/>
      </left>
      <right style="thin">
        <color rgb="FFE8EDF8"/>
      </right>
      <top style="thin">
        <color rgb="FFE8EDF8"/>
      </top>
      <bottom style="thin">
        <color rgb="FFE8EDF8"/>
      </bottom>
      <diagonal/>
    </border>
    <border>
      <left style="thin">
        <color rgb="FFD9DED9"/>
      </left>
      <right style="thin">
        <color rgb="FFD9DED9"/>
      </right>
      <top style="thin">
        <color rgb="FFD9DED9"/>
      </top>
      <bottom style="thin">
        <color rgb="FFD9DE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4" fontId="4" fillId="6" borderId="3" xfId="0" applyNumberFormat="1" applyFont="1" applyFill="1" applyBorder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2" borderId="0" xfId="0" applyFont="1" applyFill="1"/>
    <xf numFmtId="0" fontId="6" fillId="3" borderId="4" xfId="0" applyFont="1" applyFill="1" applyBorder="1"/>
    <xf numFmtId="164" fontId="0" fillId="3" borderId="4" xfId="0" applyNumberFormat="1" applyFill="1" applyBorder="1"/>
    <xf numFmtId="0" fontId="6" fillId="7" borderId="4" xfId="0" applyFont="1" applyFill="1" applyBorder="1"/>
    <xf numFmtId="164" fontId="0" fillId="7" borderId="4" xfId="0" applyNumberFormat="1" applyFill="1" applyBorder="1"/>
    <xf numFmtId="0" fontId="7" fillId="0" borderId="0" xfId="0" applyFont="1"/>
    <xf numFmtId="166" fontId="7" fillId="0" borderId="0" xfId="0" applyNumberFormat="1" applyFont="1"/>
    <xf numFmtId="167" fontId="7" fillId="0" borderId="0" xfId="0" applyNumberFormat="1" applyFont="1"/>
    <xf numFmtId="3" fontId="7" fillId="0" borderId="0" xfId="0" applyNumberFormat="1" applyFont="1"/>
    <xf numFmtId="164" fontId="7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uadreTiendasTable" displayName="CuadreTiendasTable" ref="A10:F13" totalsRowCount="1" headerRowCount="1">
  <autoFilter ref="A10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Tienda" totalsRowLabel="TOTAL"/>
    <tableColumn id="2" name="Tickets" totalsRowFunction="sum"/>
    <tableColumn id="3" name="Venta total" totalsRowFunction="sum"/>
    <tableColumn id="4" name="Efectivo" totalsRowFunction="sum"/>
    <tableColumn id="5" name="Yape" totalsRowFunction="sum"/>
    <tableColumn id="6" name="% del evento" totalsRowFunction="sum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VentasEventoTable" displayName="VentasEventoTable" ref="A5:H7" totalsRowShown="1" headerRowCount="1">
  <autoFilter ref="A5:H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Venta" totalsRowLabel="Total"/>
    <tableColumn id="2" name="Fecha" totalsRowFunction="none"/>
    <tableColumn id="3" name="Hora" totalsRowFunction="none"/>
    <tableColumn id="4" name="Tienda" totalsRowFunction="none"/>
    <tableColumn id="5" name="Cliente" totalsRowFunction="none"/>
    <tableColumn id="6" name="Pago" totalsRowFunction="none"/>
    <tableColumn id="7" name="Unidades" totalsRowFunction="none"/>
    <tableColumn id="8" name="Total" totalsRowFunction="non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DetalleProductosTable" displayName="DetalleProductosTable" ref="A5:I10" totalsRowShown="1" headerRowCount="1">
  <autoFilter ref="A5:I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Venta" totalsRowLabel="Total"/>
    <tableColumn id="2" name="Fecha" totalsRowFunction="none"/>
    <tableColumn id="3" name="Tienda" totalsRowFunction="none"/>
    <tableColumn id="4" name="Producto" totalsRowFunction="none"/>
    <tableColumn id="5" name="Cantidad" totalsRowFunction="none"/>
    <tableColumn id="6" name="Precio unitario" totalsRowFunction="none"/>
    <tableColumn id="7" name="Subtotal" totalsRowFunction="none"/>
    <tableColumn id="8" name="Pago" totalsRowFunction="none"/>
    <tableColumn id="9" name="Cliente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805E"/>
    <pageSetUpPr fitToPage="1"/>
  </sheetPr>
  <dimension ref="A1:H21"/>
  <sheetViews>
    <sheetView workbookViewId="0" showGridLines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2" width="12" customWidth="1"/>
    <col min="3" max="5" width="16" customWidth="1"/>
    <col min="6" max="6" width="15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/>
      <c r="C5" s="4" t="s">
        <v>3</v>
      </c>
      <c r="D5" s="4"/>
      <c r="E5" s="3" t="s">
        <v>4</v>
      </c>
      <c r="F5" s="3"/>
      <c r="G5" s="5" t="s">
        <v>5</v>
      </c>
      <c r="H5" s="5"/>
    </row>
    <row r="6" spans="1:8" x14ac:dyDescent="0.25">
      <c r="A6" s="6">
        <v>2</v>
      </c>
      <c r="B6" s="6"/>
      <c r="C6" s="7">
        <v>74</v>
      </c>
      <c r="D6" s="7"/>
      <c r="E6" s="8">
        <v>50</v>
      </c>
      <c r="F6" s="8"/>
      <c r="G6" s="9">
        <v>24</v>
      </c>
      <c r="H6" s="9"/>
    </row>
    <row r="7" spans="1:8" x14ac:dyDescent="0.25">
      <c r="A7" s="6"/>
      <c r="B7" s="6"/>
      <c r="C7" s="7"/>
      <c r="D7" s="7"/>
      <c r="E7" s="8"/>
      <c r="F7" s="8"/>
      <c r="G7" s="9"/>
      <c r="H7" s="9"/>
    </row>
    <row r="10" spans="1:6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12</v>
      </c>
      <c r="B11" s="10">
        <v>1</v>
      </c>
      <c r="C11" s="11">
        <v>50</v>
      </c>
      <c r="D11" s="11">
        <v>50</v>
      </c>
      <c r="E11" s="11">
        <v>0</v>
      </c>
      <c r="F11" s="12">
        <v>0.6756756756756757</v>
      </c>
    </row>
    <row r="12" spans="1:6" x14ac:dyDescent="0.25">
      <c r="A12" t="s">
        <v>13</v>
      </c>
      <c r="B12" s="10">
        <v>1</v>
      </c>
      <c r="C12" s="11">
        <v>24</v>
      </c>
      <c r="D12" s="11">
        <v>0</v>
      </c>
      <c r="E12" s="11">
        <v>24</v>
      </c>
      <c r="F12" s="12">
        <v>0.32432432432432434</v>
      </c>
    </row>
    <row r="13" spans="1:6" x14ac:dyDescent="0.25">
      <c r="A13" t="s">
        <v>14</v>
      </c>
      <c r="B13" s="10">
        <f>SUBTOTAL(109,CuadreTiendasTable[Tickets])</f>
      </c>
      <c r="C13" s="11">
        <f>SUBTOTAL(109,CuadreTiendasTable[Venta total])</f>
      </c>
      <c r="D13" s="11">
        <f>SUBTOTAL(109,CuadreTiendasTable[Efectivo])</f>
      </c>
      <c r="E13" s="11">
        <f>SUBTOTAL(109,CuadreTiendasTable[Yape])</f>
      </c>
      <c r="F13" s="12">
        <f>SUBTOTAL(109,CuadreTiendasTable[% del evento])</f>
      </c>
    </row>
    <row r="16" spans="1:2" x14ac:dyDescent="0.25">
      <c r="A16" s="13" t="s">
        <v>15</v>
      </c>
      <c r="B16" s="13"/>
    </row>
    <row r="17" spans="1:2" x14ac:dyDescent="0.25">
      <c r="A17" s="14" t="s">
        <v>16</v>
      </c>
      <c r="B17" s="15">
        <v>100</v>
      </c>
    </row>
    <row r="18" spans="1:2" x14ac:dyDescent="0.25">
      <c r="A18" s="16" t="s">
        <v>17</v>
      </c>
      <c r="B18" s="17">
        <v>50</v>
      </c>
    </row>
    <row r="19" spans="1:2" x14ac:dyDescent="0.25">
      <c r="A19" s="14" t="s">
        <v>18</v>
      </c>
      <c r="B19" s="15">
        <v>150</v>
      </c>
    </row>
    <row r="20" spans="1:2" x14ac:dyDescent="0.25">
      <c r="A20" s="16" t="s">
        <v>19</v>
      </c>
      <c r="B20" s="17">
        <v>150</v>
      </c>
    </row>
    <row r="21" spans="1:2" x14ac:dyDescent="0.25">
      <c r="A21" s="14" t="s">
        <v>20</v>
      </c>
      <c r="B21" s="15">
        <v>0</v>
      </c>
    </row>
  </sheetData>
  <mergeCells count="11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16:B16"/>
  </mergeCells>
  <pageMargins left="0.25" right="0.25" top="0.4" bottom="0.4" header="0.2" footer="0.2"/>
  <pageSetup paperSize="9" orientation="landscape" fitToWidth="1"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6FB5"/>
    <pageSetUpPr fitToPage="1"/>
  </sheetPr>
  <dimension ref="A1:H7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3" width="13" customWidth="1"/>
    <col min="4" max="4" width="28" customWidth="1"/>
    <col min="5" max="5" width="24" customWidth="1"/>
    <col min="6" max="6" width="14" customWidth="1"/>
    <col min="7" max="7" width="11" customWidth="1"/>
    <col min="8" max="8" width="15" customWidth="1"/>
  </cols>
  <sheetData>
    <row r="1" ht="26" customHeight="1" spans="1:8" x14ac:dyDescent="0.25">
      <c r="A1" s="1" t="s">
        <v>21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22</v>
      </c>
      <c r="B3" s="2"/>
      <c r="C3" s="2"/>
      <c r="D3" s="2"/>
      <c r="E3" s="2"/>
      <c r="F3" s="2"/>
      <c r="G3" s="2"/>
      <c r="H3" s="2"/>
    </row>
    <row r="5" ht="24" customHeight="1" spans="1:8" x14ac:dyDescent="0.25">
      <c r="A5" s="18" t="s">
        <v>23</v>
      </c>
      <c r="B5" s="18" t="s">
        <v>24</v>
      </c>
      <c r="C5" s="18" t="s">
        <v>25</v>
      </c>
      <c r="D5" s="18" t="s">
        <v>6</v>
      </c>
      <c r="E5" s="18" t="s">
        <v>26</v>
      </c>
      <c r="F5" s="18" t="s">
        <v>27</v>
      </c>
      <c r="G5" s="18" t="s">
        <v>28</v>
      </c>
      <c r="H5" s="18" t="s">
        <v>29</v>
      </c>
    </row>
    <row r="6" spans="1:8" x14ac:dyDescent="0.25">
      <c r="A6" s="18" t="s">
        <v>30</v>
      </c>
      <c r="B6" s="19">
        <v>46256.84375</v>
      </c>
      <c r="C6" s="20">
        <v>46256.84375</v>
      </c>
      <c r="D6" s="18" t="s">
        <v>12</v>
      </c>
      <c r="E6" s="18" t="s">
        <v>31</v>
      </c>
      <c r="F6" s="18" t="s">
        <v>4</v>
      </c>
      <c r="G6" s="21">
        <v>5</v>
      </c>
      <c r="H6" s="22">
        <v>50</v>
      </c>
    </row>
    <row r="7" spans="1:8" x14ac:dyDescent="0.25">
      <c r="A7" s="18" t="s">
        <v>32</v>
      </c>
      <c r="B7" s="19">
        <v>46256.84722222222</v>
      </c>
      <c r="C7" s="20">
        <v>46256.84722222222</v>
      </c>
      <c r="D7" s="18" t="s">
        <v>13</v>
      </c>
      <c r="E7" s="18" t="s">
        <v>33</v>
      </c>
      <c r="F7" s="18" t="s">
        <v>5</v>
      </c>
      <c r="G7" s="21">
        <v>2</v>
      </c>
      <c r="H7" s="22">
        <v>24</v>
      </c>
    </row>
  </sheetData>
  <mergeCells count="2">
    <mergeCell ref="A1:H2"/>
    <mergeCell ref="A3:H3"/>
  </mergeCells>
  <pageMargins left="0.25" right="0.25" top="0.4" bottom="0.4" header="0.2" footer="0.2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B45"/>
    <pageSetUpPr fitToPage="1"/>
  </sheetPr>
  <dimension ref="A1:I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8" customWidth="1"/>
    <col min="4" max="4" width="42" customWidth="1"/>
    <col min="5" max="5" width="11" customWidth="1"/>
    <col min="6" max="6" width="16" customWidth="1"/>
    <col min="7" max="7" width="15" customWidth="1"/>
    <col min="8" max="8" width="14" customWidth="1"/>
    <col min="9" max="9" width="24" customWidth="1"/>
  </cols>
  <sheetData>
    <row r="1" ht="26" customHeight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2" customHeight="1" spans="1:9" x14ac:dyDescent="0.25">
      <c r="A3" s="2" t="s">
        <v>35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t="s">
        <v>23</v>
      </c>
      <c r="B5" t="s">
        <v>24</v>
      </c>
      <c r="C5" t="s">
        <v>6</v>
      </c>
      <c r="D5" t="s">
        <v>36</v>
      </c>
      <c r="E5" t="s">
        <v>37</v>
      </c>
      <c r="F5" t="s">
        <v>38</v>
      </c>
      <c r="G5" t="s">
        <v>39</v>
      </c>
      <c r="H5" t="s">
        <v>27</v>
      </c>
      <c r="I5" t="s">
        <v>26</v>
      </c>
    </row>
    <row r="6" spans="1:9" x14ac:dyDescent="0.25">
      <c r="A6" t="s">
        <v>30</v>
      </c>
      <c r="B6" s="23">
        <v>46256.84375</v>
      </c>
      <c r="C6" t="s">
        <v>12</v>
      </c>
      <c r="D6" t="s">
        <v>40</v>
      </c>
      <c r="E6" s="10">
        <v>2</v>
      </c>
      <c r="F6" s="11">
        <v>18</v>
      </c>
      <c r="G6" s="11">
        <v>36</v>
      </c>
      <c r="H6" t="s">
        <v>4</v>
      </c>
      <c r="I6" t="s">
        <v>31</v>
      </c>
    </row>
    <row r="7" spans="1:9" x14ac:dyDescent="0.25">
      <c r="A7" t="s">
        <v>30</v>
      </c>
      <c r="B7" s="23">
        <v>46256.84375</v>
      </c>
      <c r="C7" t="s">
        <v>12</v>
      </c>
      <c r="D7" t="s">
        <v>41</v>
      </c>
      <c r="E7" s="10">
        <v>2</v>
      </c>
      <c r="F7" s="11">
        <v>3</v>
      </c>
      <c r="G7" s="11">
        <v>6</v>
      </c>
      <c r="H7" t="s">
        <v>4</v>
      </c>
      <c r="I7" t="s">
        <v>31</v>
      </c>
    </row>
    <row r="8" spans="1:9" x14ac:dyDescent="0.25">
      <c r="A8" t="s">
        <v>30</v>
      </c>
      <c r="B8" s="23">
        <v>46256.84375</v>
      </c>
      <c r="C8" t="s">
        <v>12</v>
      </c>
      <c r="D8" t="s">
        <v>42</v>
      </c>
      <c r="E8" s="10">
        <v>1</v>
      </c>
      <c r="F8" s="11">
        <v>5</v>
      </c>
      <c r="G8" s="11">
        <v>5</v>
      </c>
      <c r="H8" t="s">
        <v>4</v>
      </c>
      <c r="I8" t="s">
        <v>31</v>
      </c>
    </row>
    <row r="9" spans="1:9" x14ac:dyDescent="0.25">
      <c r="A9" t="s">
        <v>32</v>
      </c>
      <c r="B9" s="23">
        <v>46256.84722222222</v>
      </c>
      <c r="C9" t="s">
        <v>13</v>
      </c>
      <c r="D9" t="s">
        <v>43</v>
      </c>
      <c r="E9" s="10">
        <v>1</v>
      </c>
      <c r="F9" s="11">
        <v>4</v>
      </c>
      <c r="G9" s="11">
        <v>4</v>
      </c>
      <c r="H9" t="s">
        <v>5</v>
      </c>
      <c r="I9" t="s">
        <v>33</v>
      </c>
    </row>
    <row r="10" spans="1:9" x14ac:dyDescent="0.25">
      <c r="A10" t="s">
        <v>32</v>
      </c>
      <c r="B10" s="23">
        <v>46256.84722222222</v>
      </c>
      <c r="C10" t="s">
        <v>13</v>
      </c>
      <c r="D10" t="s">
        <v>44</v>
      </c>
      <c r="E10" s="10">
        <v>1</v>
      </c>
      <c r="F10" s="11">
        <v>20</v>
      </c>
      <c r="G10" s="11">
        <v>20</v>
      </c>
      <c r="H10" t="s">
        <v>5</v>
      </c>
      <c r="I10" t="s">
        <v>33</v>
      </c>
    </row>
  </sheetData>
  <mergeCells count="2">
    <mergeCell ref="A1:I2"/>
    <mergeCell ref="A3:I3"/>
  </mergeCells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Cuadre del evento</vt:lpstr>
      <vt:lpstr>Ventas</vt:lpstr>
      <vt:lpstr>Detalle productos</vt:lpstr>
    </vt:vector>
  </TitlesOfParts>
  <Company>Mesa Clara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 Clara POS</dc:creator>
  <dc:title/>
  <dc:subject/>
  <dc:description/>
  <cp:keywords/>
  <cp:category/>
  <cp:lastModifiedBy>Unknown</cp:lastModifiedBy>
  <dcterms:created xsi:type="dcterms:W3CDTF">2026-08-22T21:42:45Z</dcterms:created>
  <dcterms:modified xsi:type="dcterms:W3CDTF">2026-08-22T21:42:45Z</dcterms:modified>
</cp:coreProperties>
</file>